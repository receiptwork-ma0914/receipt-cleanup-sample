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1ff4727b6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 review" sheetId="1" r:id="R8fb35acd44b94348"/>
    <x:sheet xmlns:r="http://schemas.openxmlformats.org/officeDocument/2006/relationships" name="Synthetic source" sheetId="2" r:id="R81487e1a0963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($#,##0.00);$0.00"/>
    <x:numFmt numFmtId="201" formatCode="mm/dd/yy"/>
  </x:numFmts>
  <x:fonts count="5">
    <x:font>
      <x:sz val="11"/>
      <x:name val="Carlito"/>
    </x:font>
    <x:font>
      <x:sz val="10"/>
      <x:color rgb="FF243348"/>
      <x:name val="Arial"/>
    </x:font>
    <x:font>
      <x:b/>
      <x:sz val="16"/>
      <x:color rgb="FF263E5A"/>
      <x:name val="Arial"/>
    </x:font>
    <x:font>
      <x:i/>
      <x:sz val="10"/>
      <x:color rgb="FF5D6B7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A"/>
      </x:patternFill>
    </x:fill>
    <x:fill>
      <x:patternFill patternType="solid">
        <x:fgColor rgb="FFEFF3F7"/>
      </x:patternFill>
    </x:fill>
  </x:fills>
  <x:borders count="2">
    <x:border/>
    <x:border>
      <x:bottom style="thin">
        <x:color rgb="FFCCD5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7A4B00"/>
      </x:font>
      <x:fill>
        <x:patternFill patternType="solid">
          <x:bgColor rgb="FFFFF0CB"/>
        </x:patternFill>
      </x:fill>
    </x:dxf>
    <x:dxf>
      <x:font>
        <x:b/>
        <x:color rgb="FFAA3D2B"/>
      </x:font>
      <x:fill>
        <x:patternFill patternType="solid">
          <x:bgColor rgb="FFFCE5E0"/>
        </x:patternFill>
      </x:fill>
    </x:dxf>
    <x:dxf>
      <x:font>
        <x:b/>
        <x:color rgb="FFAA3D2B"/>
      </x:font>
      <x:fill>
        <x:patternFill patternType="solid">
          <x:bgColor rgb="FFFCE5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aedd0d0f14430" /><Relationship Type="http://schemas.openxmlformats.org/officeDocument/2006/relationships/theme" Target="/xl/theme/theme1.xml" Id="R782167544a6840d2" /><Relationship Type="http://schemas.openxmlformats.org/officeDocument/2006/relationships/sharedStrings" Target="/xl/sharedStrings.xml" Id="R90620b50f948441c" /><Relationship Type="http://schemas.openxmlformats.org/officeDocument/2006/relationships/worksheet" Target="/xl/worksheets/sheet1.xml" Id="R8fb35acd44b94348" /><Relationship Type="http://schemas.openxmlformats.org/officeDocument/2006/relationships/worksheet" Target="/xl/worksheets/sheet2.xml" Id="R81487e1a09634f8d" /></Relationships>
</file>

<file path=xl/tables/table1.xml><?xml version="1.0" encoding="utf-8"?>
<x:table xmlns:x="http://schemas.openxmlformats.org/spreadsheetml/2006/main" id="1" name="ReceiptReview" displayName="ReceiptReview" ref="A11:I25" headerRowCount="1" totalsRowCount="0" totalsRowShown="0">
  <x:autoFilter ref="A11:I25"/>
  <x:tableColumns count="9">
    <x:tableColumn id="1" name="Source row"/>
    <x:tableColumn id="2" name="Receipt ID"/>
    <x:tableColumn id="3" name="Date"/>
    <x:tableColumn id="4" name="Vendor"/>
    <x:tableColumn id="5" name="Category"/>
    <x:tableColumn id="6" name="Amount (USD)"/>
    <x:tableColumn id="7" name="Missing field"/>
    <x:tableColumn id="8" name="Duplicate receipt"/>
    <x:tableColumn id="9" name="Review statu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yntheticReceiptSources" displayName="SyntheticReceiptSources" ref="A7:H21" headerRowCount="1" totalsRowCount="0" totalsRowShown="0">
  <x:autoFilter ref="A7:H21"/>
  <x:tableColumns count="8">
    <x:tableColumn id="1" name="Source row"/>
    <x:tableColumn id="2" name="Source label"/>
    <x:tableColumn id="3" name="Receipt ID"/>
    <x:tableColumn id="4" name="Date as seen"/>
    <x:tableColumn id="5" name="Vendor as seen"/>
    <x:tableColumn id="6" name="Amount as seen"/>
    <x:tableColumn id="7" name="Amount control"/>
    <x:tableColumn id="8" name="Source observa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5bb33ac8854a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60768875a04551" /></Relationships>
</file>

<file path=xl/worksheets/sheet1.xml><?xml version="1.0" encoding="utf-8"?>
<x:worksheet xmlns:x="http://schemas.openxmlformats.org/spreadsheetml/2006/main">
  <x:sheetPr>
    <x:tabColor rgb="FF263E5A"/>
  </x:sheetPr>
  <x:sheetViews>
    <x:sheetView showGridLines="0" workbookViewId="0"/>
  </x:sheetViews>
  <x:sheetFormatPr defaultRowHeight="15"/>
  <x:cols>
    <x:col min="1" max="1" width="12.220000267028809" hidden="0" customWidth="1"/>
    <x:col min="2" max="2" width="12.4399995803833" hidden="0" customWidth="1"/>
    <x:col min="3" max="3" width="11.329999923706055" hidden="0" customWidth="1"/>
    <x:col min="4" max="4" width="18.219999313354492" hidden="0" customWidth="1"/>
    <x:col min="5" max="5" width="14" hidden="0" customWidth="1"/>
    <x:col min="6" max="6" width="12.890000343322754" hidden="0" customWidth="1"/>
    <x:col min="7" max="7" width="14.4399995803833" hidden="0" customWidth="1"/>
    <x:col min="8" max="8" width="16.219999313354492" hidden="0" customWidth="1"/>
    <x:col min="9" max="9" width="13.32999992370605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Receipt cleanup sample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5" t="str">
        <x:v>Entirely synthetic data. Prepared by an AI assistant. No real client work or payments are represented.</x:v>
      </x:c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 t="str">
        <x:v>Source rows</x:v>
      </x:c>
      <x:c r="B5" s="8" t="n">
        <x:f>'Synthetic source'!B4</x:f>
        <x:v>14</x:v>
      </x:c>
      <x:c r="C5" s="2"/>
      <x:c r="D5" s="2" t="str">
        <x:v>Amount entered (USD)</x:v>
      </x:c>
      <x:c r="E5" s="2"/>
      <x:c r="F5" s="9" t="n">
        <x:f>SUM(F12:F25)</x:f>
        <x:v>429.84</x:v>
      </x:c>
      <x:c r="G5" s="2"/>
      <x:c r="H5" s="2" t="str">
        <x:v>Review rows</x:v>
      </x:c>
      <x:c r="I5" s="8" t="n">
        <x:f>COUNTIFS(I12:I25,"Review")</x:f>
        <x:v>5</x:v>
      </x:c>
    </x:row>
    <x:row r="6" ht="23" customHeight="1">
      <x:c r="A6" s="2" t="str">
        <x:v>Rows retained</x:v>
      </x:c>
      <x:c r="B6" s="8" t="n">
        <x:f>COUNTA(A12:A25)</x:f>
        <x:v>14</x:v>
      </x:c>
      <x:c r="C6" s="2"/>
      <x:c r="D6" s="2" t="str">
        <x:v>Known source total</x:v>
      </x:c>
      <x:c r="E6" s="2"/>
      <x:c r="F6" s="9" t="n">
        <x:f>'Synthetic source'!G4</x:f>
        <x:v>429.84</x:v>
      </x:c>
      <x:c r="G6" s="2"/>
      <x:c r="H6" s="2" t="str">
        <x:v>Clear rows</x:v>
      </x:c>
      <x:c r="I6" s="8" t="n">
        <x:f>COUNTIFS(I12:I25,"Clear")</x:f>
        <x:v>9</x:v>
      </x:c>
    </x:row>
    <x:row r="7" ht="23" customHeight="1">
      <x:c r="A7" s="2" t="str">
        <x:v>Row difference</x:v>
      </x:c>
      <x:c r="B7" s="8" t="n">
        <x:f>B6-B5</x:f>
        <x:v>0</x:v>
      </x:c>
      <x:c r="C7" s="2"/>
      <x:c r="D7" s="2" t="str">
        <x:v>Amount difference</x:v>
      </x:c>
      <x:c r="E7" s="2"/>
      <x:c r="F7" s="9" t="n">
        <x:f>ROUND(F5-F6,2)</x:f>
        <x:v>0</x:v>
      </x:c>
      <x:c r="G7" s="2"/>
      <x:c r="H7" s="2"/>
      <x:c r="I7" s="2"/>
    </x:row>
    <x:row r="8" ht="23" customHeight="1">
      <x:c r="A8" s="2"/>
      <x:c r="B8" s="2"/>
      <x:c r="C8" s="2"/>
      <x:c r="D8" s="2" t="str">
        <x:v>Unreadable amounts</x:v>
      </x:c>
      <x:c r="E8" s="2"/>
      <x:c r="F8" s="8" t="n">
        <x:f>COUNTBLANK('Synthetic source'!G8:G21)</x:f>
        <x:v>1</x:v>
      </x:c>
      <x:c r="G8" s="2"/>
      <x:c r="H8" s="2"/>
      <x:c r="I8" s="2"/>
    </x:row>
    <x:row r="9" ht="23" customHeight="1">
      <x:c r="A9" s="4" t="str">
        <x:v>All rows remain in the totals, including duplicates. Resolve review flags before excluding rows or booking expenses.</x:v>
      </x:c>
      <x:c r="B9" s="4"/>
      <x:c r="C9" s="4"/>
      <x:c r="D9" s="4"/>
      <x:c r="E9" s="4"/>
      <x:c r="F9" s="4"/>
      <x:c r="G9" s="4"/>
      <x:c r="H9" s="4"/>
      <x:c r="I9" s="4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0" customHeight="1">
      <x:c r="A11" s="13" t="str">
        <x:v>Source row</x:v>
      </x:c>
      <x:c r="B11" s="13" t="str">
        <x:v>Receipt ID</x:v>
      </x:c>
      <x:c r="C11" s="13" t="str">
        <x:v>Date</x:v>
      </x:c>
      <x:c r="D11" s="13" t="str">
        <x:v>Vendor</x:v>
      </x:c>
      <x:c r="E11" s="13" t="str">
        <x:v>Category</x:v>
      </x:c>
      <x:c r="F11" s="13" t="str">
        <x:v>Amount (USD)</x:v>
      </x:c>
      <x:c r="G11" s="13" t="str">
        <x:v>Missing field</x:v>
      </x:c>
      <x:c r="H11" s="13" t="str">
        <x:v>Duplicate receipt</x:v>
      </x:c>
      <x:c r="I11" s="13" t="str">
        <x:v>Review status</x:v>
      </x:c>
    </x:row>
    <x:row r="12" ht="27" customHeight="1">
      <x:c r="A12" s="2" t="str">
        <x:f>'Synthetic source'!A8</x:f>
        <x:v>SRC-01</x:v>
      </x:c>
      <x:c r="B12" s="2" t="str">
        <x:f>IF('Synthetic source'!C8="","",'Synthetic source'!C8)</x:f>
        <x:v>DEMO-001</x:v>
      </x:c>
      <x:c r="C12" s="10" t="n">
        <x:v>46266</x:v>
      </x:c>
      <x:c r="D12" s="2" t="str">
        <x:f>TRIM('Synthetic source'!E8)</x:f>
        <x:v>Pine Stationery</x:v>
      </x:c>
      <x:c r="E12" s="2" t="str">
        <x:v>Office supplies</x:v>
      </x:c>
      <x:c r="F12" s="9" t="n">
        <x:v>38.45</x:v>
      </x:c>
      <x:c r="G12" s="2" t="str">
        <x:f>TRIM(IF(B12="","ID ","")&amp;IF(C12="","Date ","")&amp;IF(D12="","Vendor ","")&amp;IF(ISNUMBER(F12),"","Amount"))</x:f>
      </x:c>
      <x:c r="H12" s="2" t="str">
        <x:f>IF(B12="","",IF(COUNTIFS($B$12:$B$25,B12)&gt;1,"Duplicate ID",""))</x:f>
      </x:c>
      <x:c r="I12" s="2" t="str">
        <x:f>IF(OR(G12&lt;&gt;"",H12&lt;&gt;""),"Review","Clear")</x:f>
        <x:v>Clear</x:v>
      </x:c>
    </x:row>
    <x:row r="13" ht="27" customHeight="1">
      <x:c r="A13" s="14" t="str">
        <x:f>'Synthetic source'!A9</x:f>
        <x:v>SRC-02</x:v>
      </x:c>
      <x:c r="B13" s="14" t="str">
        <x:f>IF('Synthetic source'!C9="","",'Synthetic source'!C9)</x:f>
        <x:v>DEMO-002</x:v>
      </x:c>
      <x:c r="C13" s="15" t="n">
        <x:v>46266</x:v>
      </x:c>
      <x:c r="D13" s="14" t="str">
        <x:f>TRIM('Synthetic source'!E9)</x:f>
        <x:v>Cedar Cafe</x:v>
      </x:c>
      <x:c r="E13" s="14" t="str">
        <x:v>Meals</x:v>
      </x:c>
      <x:c r="F13" s="16" t="n">
        <x:v>12.6</x:v>
      </x:c>
      <x:c r="G13" s="14" t="str">
        <x:f>TRIM(IF(B13="","ID ","")&amp;IF(C13="","Date ","")&amp;IF(D13="","Vendor ","")&amp;IF(ISNUMBER(F13),"","Amount"))</x:f>
      </x:c>
      <x:c r="H13" s="14" t="str">
        <x:f>IF(B13="","",IF(COUNTIFS($B$12:$B$25,B13)&gt;1,"Duplicate ID",""))</x:f>
      </x:c>
      <x:c r="I13" s="14" t="str">
        <x:f>IF(OR(G13&lt;&gt;"",H13&lt;&gt;""),"Review","Clear")</x:f>
        <x:v>Clear</x:v>
      </x:c>
    </x:row>
    <x:row r="14" ht="27" customHeight="1">
      <x:c r="A14" s="2" t="str">
        <x:f>'Synthetic source'!A10</x:f>
        <x:v>SRC-03</x:v>
      </x:c>
      <x:c r="B14" s="2" t="str">
        <x:f>IF('Synthetic source'!C10="","",'Synthetic source'!C10)</x:f>
        <x:v>DEMO-003</x:v>
      </x:c>
      <x:c r="C14" s="10" t="n">
        <x:v>46267</x:v>
      </x:c>
      <x:c r="D14" s="2" t="str">
        <x:f>TRIM('Synthetic source'!E10)</x:f>
        <x:v>Harbor Hardware</x:v>
      </x:c>
      <x:c r="E14" s="2" t="str">
        <x:v>Tools</x:v>
      </x:c>
      <x:c r="F14" s="9" t="n">
        <x:v>89.99</x:v>
      </x:c>
      <x:c r="G14" s="2" t="str">
        <x:f>TRIM(IF(B14="","ID ","")&amp;IF(C14="","Date ","")&amp;IF(D14="","Vendor ","")&amp;IF(ISNUMBER(F14),"","Amount"))</x:f>
      </x:c>
      <x:c r="H14" s="2" t="str">
        <x:f>IF(B14="","",IF(COUNTIFS($B$12:$B$25,B14)&gt;1,"Duplicate ID",""))</x:f>
      </x:c>
      <x:c r="I14" s="2" t="str">
        <x:f>IF(OR(G14&lt;&gt;"",H14&lt;&gt;""),"Review","Clear")</x:f>
        <x:v>Clear</x:v>
      </x:c>
    </x:row>
    <x:row r="15" ht="27" customHeight="1">
      <x:c r="A15" s="14" t="str">
        <x:f>'Synthetic source'!A11</x:f>
        <x:v>SRC-04</x:v>
      </x:c>
      <x:c r="B15" s="14" t="str">
        <x:f>IF('Synthetic source'!C11="","",'Synthetic source'!C11)</x:f>
        <x:v>DEMO-004</x:v>
      </x:c>
      <x:c r="C15" s="15" t="n">
        <x:v>46267</x:v>
      </x:c>
      <x:c r="D15" s="14" t="str">
        <x:f>TRIM('Synthetic source'!E11)</x:f>
        <x:v>Maple Parking</x:v>
      </x:c>
      <x:c r="E15" s="14" t="str">
        <x:v>Parking</x:v>
      </x:c>
      <x:c r="F15" s="16" t="n">
        <x:v>24.5</x:v>
      </x:c>
      <x:c r="G15" s="14" t="str">
        <x:f>TRIM(IF(B15="","ID ","")&amp;IF(C15="","Date ","")&amp;IF(D15="","Vendor ","")&amp;IF(ISNUMBER(F15),"","Amount"))</x:f>
      </x:c>
      <x:c r="H15" s="14" t="str">
        <x:f>IF(B15="","",IF(COUNTIFS($B$12:$B$25,B15)&gt;1,"Duplicate ID",""))</x:f>
      </x:c>
      <x:c r="I15" s="14" t="str">
        <x:f>IF(OR(G15&lt;&gt;"",H15&lt;&gt;""),"Review","Clear")</x:f>
        <x:v>Clear</x:v>
      </x:c>
    </x:row>
    <x:row r="16" ht="27" customHeight="1">
      <x:c r="A16" s="2" t="str">
        <x:f>'Synthetic source'!A12</x:f>
        <x:v>SRC-05</x:v>
      </x:c>
      <x:c r="B16" s="2" t="str">
        <x:f>IF('Synthetic source'!C12="","",'Synthetic source'!C12)</x:f>
        <x:v>DEMO-005</x:v>
      </x:c>
      <x:c r="C16" s="10" t="n">
        <x:v>46268</x:v>
      </x:c>
      <x:c r="D16" s="2" t="str">
        <x:f>TRIM('Synthetic source'!E12)</x:f>
        <x:v>Elm Print Shop</x:v>
      </x:c>
      <x:c r="E16" s="2" t="str">
        <x:v>Printing</x:v>
      </x:c>
      <x:c r="F16" s="9" t="n">
        <x:v>15.2</x:v>
      </x:c>
      <x:c r="G16" s="2" t="str">
        <x:f>TRIM(IF(B16="","ID ","")&amp;IF(C16="","Date ","")&amp;IF(D16="","Vendor ","")&amp;IF(ISNUMBER(F16),"","Amount"))</x:f>
      </x:c>
      <x:c r="H16" s="2" t="str">
        <x:f>IF(B16="","",IF(COUNTIFS($B$12:$B$25,B16)&gt;1,"Duplicate ID",""))</x:f>
      </x:c>
      <x:c r="I16" s="2" t="str">
        <x:f>IF(OR(G16&lt;&gt;"",H16&lt;&gt;""),"Review","Clear")</x:f>
        <x:v>Clear</x:v>
      </x:c>
    </x:row>
    <x:row r="17" ht="27" customHeight="1">
      <x:c r="A17" s="14" t="str">
        <x:f>'Synthetic source'!A13</x:f>
        <x:v>SRC-06</x:v>
      </x:c>
      <x:c r="B17" s="14" t="str">
        <x:f>IF('Synthetic source'!C13="","",'Synthetic source'!C13)</x:f>
        <x:v>DEMO-006</x:v>
      </x:c>
      <x:c r="C17" s="15" t="n">
        <x:v>46268</x:v>
      </x:c>
      <x:c r="D17" s="14" t="str">
        <x:f>TRIM('Synthetic source'!E13)</x:f>
        <x:v>Birch Fuel</x:v>
      </x:c>
      <x:c r="E17" s="14" t="str">
        <x:v>Fuel</x:v>
      </x:c>
      <x:c r="F17" s="16" t="n">
        <x:v>42</x:v>
      </x:c>
      <x:c r="G17" s="14" t="str">
        <x:f>TRIM(IF(B17="","ID ","")&amp;IF(C17="","Date ","")&amp;IF(D17="","Vendor ","")&amp;IF(ISNUMBER(F17),"","Amount"))</x:f>
      </x:c>
      <x:c r="H17" s="14" t="str">
        <x:f>IF(B17="","",IF(COUNTIFS($B$12:$B$25,B17)&gt;1,"Duplicate ID",""))</x:f>
        <x:v>Duplicate ID</x:v>
      </x:c>
      <x:c r="I17" s="14" t="str">
        <x:f>IF(OR(G17&lt;&gt;"",H17&lt;&gt;""),"Review","Clear")</x:f>
        <x:v>Review</x:v>
      </x:c>
    </x:row>
    <x:row r="18" ht="27" customHeight="1">
      <x:c r="A18" s="2" t="str">
        <x:f>'Synthetic source'!A14</x:f>
        <x:v>SRC-07</x:v>
      </x:c>
      <x:c r="B18" s="2" t="str">
        <x:f>IF('Synthetic source'!C14="","",'Synthetic source'!C14)</x:f>
        <x:v>DEMO-007</x:v>
      </x:c>
      <x:c r="C18" s="10" t="n">
        <x:v>46269</x:v>
      </x:c>
      <x:c r="D18" s="2" t="str">
        <x:f>TRIM('Synthetic source'!E14)</x:f>
        <x:v>Pine Stationery</x:v>
      </x:c>
      <x:c r="E18" s="2" t="str">
        <x:v>Office supplies</x:v>
      </x:c>
      <x:c r="F18" s="9" t="n">
        <x:v>18.75</x:v>
      </x:c>
      <x:c r="G18" s="2" t="str">
        <x:f>TRIM(IF(B18="","ID ","")&amp;IF(C18="","Date ","")&amp;IF(D18="","Vendor ","")&amp;IF(ISNUMBER(F18),"","Amount"))</x:f>
      </x:c>
      <x:c r="H18" s="2" t="str">
        <x:f>IF(B18="","",IF(COUNTIFS($B$12:$B$25,B18)&gt;1,"Duplicate ID",""))</x:f>
      </x:c>
      <x:c r="I18" s="2" t="str">
        <x:f>IF(OR(G18&lt;&gt;"",H18&lt;&gt;""),"Review","Clear")</x:f>
        <x:v>Clear</x:v>
      </x:c>
    </x:row>
    <x:row r="19" ht="27" customHeight="1">
      <x:c r="A19" s="14" t="str">
        <x:f>'Synthetic source'!A15</x:f>
        <x:v>SRC-08</x:v>
      </x:c>
      <x:c r="B19" s="14" t="str">
        <x:f>IF('Synthetic source'!C15="","",'Synthetic source'!C15)</x:f>
        <x:v>DEMO-008</x:v>
      </x:c>
      <x:c r="C19" s="15" t="n">
        <x:v>46269</x:v>
      </x:c>
      <x:c r="D19" s="14" t="str">
        <x:f>TRIM('Synthetic source'!E15)</x:f>
        <x:v>Harbor Hardware</x:v>
      </x:c>
      <x:c r="E19" s="14" t="str">
        <x:v>Tools</x:v>
      </x:c>
      <x:c r="F19" s="16" t="n">
        <x:v>64.1</x:v>
      </x:c>
      <x:c r="G19" s="14" t="str">
        <x:f>TRIM(IF(B19="","ID ","")&amp;IF(C19="","Date ","")&amp;IF(D19="","Vendor ","")&amp;IF(ISNUMBER(F19),"","Amount"))</x:f>
      </x:c>
      <x:c r="H19" s="14" t="str">
        <x:f>IF(B19="","",IF(COUNTIFS($B$12:$B$25,B19)&gt;1,"Duplicate ID",""))</x:f>
      </x:c>
      <x:c r="I19" s="14" t="str">
        <x:f>IF(OR(G19&lt;&gt;"",H19&lt;&gt;""),"Review","Clear")</x:f>
        <x:v>Clear</x:v>
      </x:c>
    </x:row>
    <x:row r="20" ht="27" customHeight="1">
      <x:c r="A20" s="2" t="str">
        <x:f>'Synthetic source'!A16</x:f>
        <x:v>SRC-09</x:v>
      </x:c>
      <x:c r="B20" s="2" t="str">
        <x:f>IF('Synthetic source'!C16="","",'Synthetic source'!C16)</x:f>
        <x:v>DEMO-009</x:v>
      </x:c>
      <x:c r="C20" s="10" t="n">
        <x:v>46270</x:v>
      </x:c>
      <x:c r="D20" s="2" t="str">
        <x:f>TRIM('Synthetic source'!E16)</x:f>
        <x:v>Cedar Cafe</x:v>
      </x:c>
      <x:c r="E20" s="2" t="str">
        <x:v>Meals</x:v>
      </x:c>
      <x:c r="F20" s="9" t="n">
        <x:v>27.3</x:v>
      </x:c>
      <x:c r="G20" s="2" t="str">
        <x:f>TRIM(IF(B20="","ID ","")&amp;IF(C20="","Date ","")&amp;IF(D20="","Vendor ","")&amp;IF(ISNUMBER(F20),"","Amount"))</x:f>
      </x:c>
      <x:c r="H20" s="2" t="str">
        <x:f>IF(B20="","",IF(COUNTIFS($B$12:$B$25,B20)&gt;1,"Duplicate ID",""))</x:f>
      </x:c>
      <x:c r="I20" s="2" t="str">
        <x:f>IF(OR(G20&lt;&gt;"",H20&lt;&gt;""),"Review","Clear")</x:f>
        <x:v>Clear</x:v>
      </x:c>
    </x:row>
    <x:row r="21" ht="27" customHeight="1">
      <x:c r="A21" s="14" t="str">
        <x:f>'Synthetic source'!A17</x:f>
        <x:v>SRC-10</x:v>
      </x:c>
      <x:c r="B21" s="14" t="str">
        <x:f>IF('Synthetic source'!C17="","",'Synthetic source'!C17)</x:f>
        <x:v>DEMO-006</x:v>
      </x:c>
      <x:c r="C21" s="15" t="n">
        <x:v>46268</x:v>
      </x:c>
      <x:c r="D21" s="14" t="str">
        <x:f>TRIM('Synthetic source'!E17)</x:f>
        <x:v>Birch Fuel</x:v>
      </x:c>
      <x:c r="E21" s="14" t="str">
        <x:v>Fuel</x:v>
      </x:c>
      <x:c r="F21" s="16" t="n">
        <x:v>42</x:v>
      </x:c>
      <x:c r="G21" s="14" t="str">
        <x:f>TRIM(IF(B21="","ID ","")&amp;IF(C21="","Date ","")&amp;IF(D21="","Vendor ","")&amp;IF(ISNUMBER(F21),"","Amount"))</x:f>
      </x:c>
      <x:c r="H21" s="14" t="str">
        <x:f>IF(B21="","",IF(COUNTIFS($B$12:$B$25,B21)&gt;1,"Duplicate ID",""))</x:f>
        <x:v>Duplicate ID</x:v>
      </x:c>
      <x:c r="I21" s="14" t="str">
        <x:f>IF(OR(G21&lt;&gt;"",H21&lt;&gt;""),"Review","Clear")</x:f>
        <x:v>Review</x:v>
      </x:c>
    </x:row>
    <x:row r="22" ht="27" customHeight="1">
      <x:c r="A22" s="2" t="str">
        <x:f>'Synthetic source'!A18</x:f>
        <x:v>SRC-11</x:v>
      </x:c>
      <x:c r="B22" s="2" t="str">
        <x:f>IF('Synthetic source'!C18="","",'Synthetic source'!C18)</x:f>
        <x:v>DEMO-011</x:v>
      </x:c>
      <x:c r="C22" s="10"/>
      <x:c r="D22" s="2" t="str">
        <x:f>TRIM('Synthetic source'!E18)</x:f>
        <x:v>Juniper Courier</x:v>
      </x:c>
      <x:c r="E22" s="2" t="str">
        <x:v>Shipping</x:v>
      </x:c>
      <x:c r="F22" s="9" t="n">
        <x:v>33.8</x:v>
      </x:c>
      <x:c r="G22" s="2" t="str">
        <x:f>TRIM(IF(B22="","ID ","")&amp;IF(C22="","Date ","")&amp;IF(D22="","Vendor ","")&amp;IF(ISNUMBER(F22),"","Amount"))</x:f>
        <x:v>Date</x:v>
      </x:c>
      <x:c r="H22" s="2" t="str">
        <x:f>IF(B22="","",IF(COUNTIFS($B$12:$B$25,B22)&gt;1,"Duplicate ID",""))</x:f>
      </x:c>
      <x:c r="I22" s="2" t="str">
        <x:f>IF(OR(G22&lt;&gt;"",H22&lt;&gt;""),"Review","Clear")</x:f>
        <x:v>Review</x:v>
      </x:c>
    </x:row>
    <x:row r="23" ht="27" customHeight="1">
      <x:c r="A23" s="14" t="str">
        <x:f>'Synthetic source'!A19</x:f>
        <x:v>SRC-12</x:v>
      </x:c>
      <x:c r="B23" s="14" t="str">
        <x:f>IF('Synthetic source'!C19="","",'Synthetic source'!C19)</x:f>
        <x:v>DEMO-012</x:v>
      </x:c>
      <x:c r="C23" s="15" t="n">
        <x:v>46271</x:v>
      </x:c>
      <x:c r="D23" s="14" t="str">
        <x:f>TRIM('Synthetic source'!E19)</x:f>
        <x:v>Elm Print Shop</x:v>
      </x:c>
      <x:c r="E23" s="14" t="str">
        <x:v>Printing</x:v>
      </x:c>
      <x:c r="F23" s="16"/>
      <x:c r="G23" s="14" t="str">
        <x:f>TRIM(IF(B23="","ID ","")&amp;IF(C23="","Date ","")&amp;IF(D23="","Vendor ","")&amp;IF(ISNUMBER(F23),"","Amount"))</x:f>
        <x:v>Amount</x:v>
      </x:c>
      <x:c r="H23" s="14" t="str">
        <x:f>IF(B23="","",IF(COUNTIFS($B$12:$B$25,B23)&gt;1,"Duplicate ID",""))</x:f>
      </x:c>
      <x:c r="I23" s="14" t="str">
        <x:f>IF(OR(G23&lt;&gt;"",H23&lt;&gt;""),"Review","Clear")</x:f>
        <x:v>Review</x:v>
      </x:c>
    </x:row>
    <x:row r="24" ht="27" customHeight="1">
      <x:c r="A24" s="2" t="str">
        <x:f>'Synthetic source'!A20</x:f>
        <x:v>SRC-13</x:v>
      </x:c>
      <x:c r="B24" s="2" t="str">
        <x:f>IF('Synthetic source'!C20="","",'Synthetic source'!C20)</x:f>
        <x:v>DEMO-013</x:v>
      </x:c>
      <x:c r="C24" s="10" t="n">
        <x:v>46272</x:v>
      </x:c>
      <x:c r="D24" s="2" t="str">
        <x:f>TRIM('Synthetic source'!E20)</x:f>
      </x:c>
      <x:c r="E24" s="2" t="str">
        <x:v>Unassigned</x:v>
      </x:c>
      <x:c r="F24" s="9" t="n">
        <x:v>21.15</x:v>
      </x:c>
      <x:c r="G24" s="2" t="str">
        <x:f>TRIM(IF(B24="","ID ","")&amp;IF(C24="","Date ","")&amp;IF(D24="","Vendor ","")&amp;IF(ISNUMBER(F24),"","Amount"))</x:f>
        <x:v>Vendor</x:v>
      </x:c>
      <x:c r="H24" s="2" t="str">
        <x:f>IF(B24="","",IF(COUNTIFS($B$12:$B$25,B24)&gt;1,"Duplicate ID",""))</x:f>
      </x:c>
      <x:c r="I24" s="2" t="str">
        <x:f>IF(OR(G24&lt;&gt;"",H24&lt;&gt;""),"Review","Clear")</x:f>
        <x:v>Review</x:v>
      </x:c>
    </x:row>
    <x:row r="25" ht="27" customHeight="1">
      <x:c r="A25" s="14" t="str">
        <x:f>'Synthetic source'!A21</x:f>
        <x:v>SRC-14</x:v>
      </x:c>
      <x:c r="B25" s="14" t="str">
        <x:f>IF('Synthetic source'!C21="","",'Synthetic source'!C21)</x:f>
        <x:v>DEMO-014</x:v>
      </x:c>
      <x:c r="C25" s="15" t="n">
        <x:v>46272</x:v>
      </x:c>
      <x:c r="D25" s="14" t="str">
        <x:f>TRIM('Synthetic source'!E21)</x:f>
        <x:v>Maple Parking</x:v>
      </x:c>
      <x:c r="E25" s="14" t="str">
        <x:v>Parking</x:v>
      </x:c>
      <x:c r="F25" s="16" t="n">
        <x:v>0</x:v>
      </x:c>
      <x:c r="G25" s="14" t="str">
        <x:f>TRIM(IF(B25="","ID ","")&amp;IF(C25="","Date ","")&amp;IF(D25="","Vendor ","")&amp;IF(ISNUMBER(F25),"","Amount"))</x:f>
      </x:c>
      <x:c r="H25" s="14" t="str">
        <x:f>IF(B25="","",IF(COUNTIFS($B$12:$B$25,B25)&gt;1,"Duplicate ID",""))</x:f>
      </x:c>
      <x:c r="I25" s="14" t="str">
        <x:f>IF(OR(G25&lt;&gt;"",H25&lt;&gt;""),"Review","Clear")</x:f>
        <x:v>Clear</x:v>
      </x:c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4" t="str">
        <x:v>Review rules: duplicate receipt IDs flag every matching row. Required fields are receipt ID, date, vendor and numeric amount.</x:v>
      </x:c>
      <x:c r="B27" s="4"/>
      <x:c r="C27" s="4"/>
      <x:c r="D27" s="4"/>
      <x:c r="E27" s="4"/>
      <x:c r="F27" s="4"/>
      <x:c r="G27" s="4"/>
      <x:c r="H27" s="4"/>
      <x:c r="I27" s="4"/>
    </x:row>
  </x:sheetData>
  <x:conditionalFormatting sqref="G12:I25">
    <x:cfRule type="expression" dxfId="0" priority="1">
      <x:formula>$I12="Review"</x:formula>
    </x:cfRule>
  </x:conditionalFormatting>
  <x:conditionalFormatting sqref="B7:B7">
    <x:cfRule type="cellIs" dxfId="1" priority="2" operator="notEqual">
      <x:formula>0</x:formula>
    </x:cfRule>
  </x:conditionalFormatting>
  <x:conditionalFormatting sqref="F7:F7">
    <x:cfRule type="cellIs" dxfId="2" priority="3" operator="notEqual">
      <x:formula>0</x:formula>
    </x:cfRule>
  </x:conditionalFormatting>
  <x:dataValidations count="1">
    <x:dataValidation type="list" sqref="E12:E25">
      <x:formula1>"Office supplies,Meals,Tools,Parking,Printing,Fuel,Shipping,Unassigned"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5bb33ac8854a1e"/>
  </x:tableParts>
</x:worksheet>
</file>

<file path=xl/worksheets/sheet2.xml><?xml version="1.0" encoding="utf-8"?>
<x:worksheet xmlns:x="http://schemas.openxmlformats.org/spreadsheetml/2006/main">
  <x:sheetPr>
    <x:tabColor rgb="FF90A1B4"/>
  </x:sheetPr>
  <x:sheetViews>
    <x:sheetView showGridLines="0" workbookViewId="0"/>
  </x:sheetViews>
  <x:sheetFormatPr defaultRowHeight="15"/>
  <x:cols>
    <x:col min="1" max="1" width="12.220000267028809" hidden="0" customWidth="1"/>
    <x:col min="2" max="2" width="13.779999732971191" hidden="0" customWidth="1"/>
    <x:col min="3" max="3" width="12.4399995803833" hidden="0" customWidth="1"/>
    <x:col min="4" max="4" width="12.220000267028809" hidden="0" customWidth="1"/>
    <x:col min="5" max="5" width="18.219999313354492" hidden="0" customWidth="1"/>
    <x:col min="6" max="6" width="13.329999923706055" hidden="0" customWidth="1"/>
    <x:col min="7" max="7" width="15.109999656677246" hidden="0" customWidth="1"/>
    <x:col min="8" max="8" width="20.4400005340576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Synthetic source register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5" t="str">
        <x:v>Invented receipt text for this demonstration. Original fields are retained alongside the normalized output.</x:v>
      </x:c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2" t="str">
        <x:v>Batch rows</x:v>
      </x:c>
      <x:c r="B4" s="2" t="n">
        <x:v>14</x:v>
      </x:c>
      <x:c r="C4" s="2"/>
      <x:c r="D4" s="2"/>
      <x:c r="E4" s="2" t="str">
        <x:v>Known amount control</x:v>
      </x:c>
      <x:c r="F4" s="2"/>
      <x:c r="G4" s="6" t="n">
        <x:v>429.84</x:v>
      </x:c>
      <x:c r="H4" s="2"/>
      <x:c r="I4" s="2"/>
    </x:row>
    <x:row r="5" ht="23" customHeight="1">
      <x:c r="A5" s="4" t="str">
        <x:v>Control includes duplicate rows and all readable amounts. One unreadable amount is excluded, never replaced by zero.</x:v>
      </x:c>
      <x:c r="B5" s="4"/>
      <x:c r="C5" s="4"/>
      <x:c r="D5" s="4"/>
      <x:c r="E5" s="4"/>
      <x:c r="F5" s="4"/>
      <x:c r="G5" s="4"/>
      <x:c r="H5" s="4"/>
      <x:c r="I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13" t="str">
        <x:v>Source row</x:v>
      </x:c>
      <x:c r="B7" s="13" t="str">
        <x:v>Source label</x:v>
      </x:c>
      <x:c r="C7" s="13" t="str">
        <x:v>Receipt ID</x:v>
      </x:c>
      <x:c r="D7" s="13" t="str">
        <x:v>Date as seen</x:v>
      </x:c>
      <x:c r="E7" s="13" t="str">
        <x:v>Vendor as seen</x:v>
      </x:c>
      <x:c r="F7" s="13" t="str">
        <x:v>Amount as seen</x:v>
      </x:c>
      <x:c r="G7" s="13" t="str">
        <x:v>Amount control</x:v>
      </x:c>
      <x:c r="H7" s="13" t="str">
        <x:v>Source observation</x:v>
      </x:c>
      <x:c r="I7" s="2"/>
    </x:row>
    <x:row r="8" ht="27" customHeight="1">
      <x:c r="A8" s="2" t="str">
        <x:v>SRC-01</x:v>
      </x:c>
      <x:c r="B8" s="2" t="str">
        <x:v>Synthetic 01</x:v>
      </x:c>
      <x:c r="C8" s="2" t="str">
        <x:v>DEMO-001</x:v>
      </x:c>
      <x:c r="D8" s="2" t="str">
        <x:v>09/01/2026</x:v>
      </x:c>
      <x:c r="E8" s="2" t="str">
        <x:v> Pine Stationery </x:v>
      </x:c>
      <x:c r="F8" s="2" t="str">
        <x:v>$38.45</x:v>
      </x:c>
      <x:c r="G8" s="6" t="n">
        <x:v>38.45</x:v>
      </x:c>
      <x:c r="H8" s="2" t="str"/>
      <x:c r="I8" s="2"/>
    </x:row>
    <x:row r="9" ht="27" customHeight="1">
      <x:c r="A9" s="14" t="str">
        <x:v>SRC-02</x:v>
      </x:c>
      <x:c r="B9" s="14" t="str">
        <x:v>Synthetic 02</x:v>
      </x:c>
      <x:c r="C9" s="14" t="str">
        <x:v>DEMO-002</x:v>
      </x:c>
      <x:c r="D9" s="14" t="str">
        <x:v>9/1/26</x:v>
      </x:c>
      <x:c r="E9" s="14" t="str">
        <x:v>Cedar Cafe</x:v>
      </x:c>
      <x:c r="F9" s="14" t="str">
        <x:v>$12.60</x:v>
      </x:c>
      <x:c r="G9" s="17" t="n">
        <x:v>12.6</x:v>
      </x:c>
      <x:c r="H9" s="14" t="str"/>
      <x:c r="I9" s="2"/>
    </x:row>
    <x:row r="10" ht="27" customHeight="1">
      <x:c r="A10" s="2" t="str">
        <x:v>SRC-03</x:v>
      </x:c>
      <x:c r="B10" s="2" t="str">
        <x:v>Synthetic 03</x:v>
      </x:c>
      <x:c r="C10" s="2" t="str">
        <x:v>DEMO-003</x:v>
      </x:c>
      <x:c r="D10" s="2" t="str">
        <x:v>2026-09-02</x:v>
      </x:c>
      <x:c r="E10" s="2" t="str">
        <x:v>Harbor Hardware</x:v>
      </x:c>
      <x:c r="F10" s="2" t="str">
        <x:v>89.99</x:v>
      </x:c>
      <x:c r="G10" s="6" t="n">
        <x:v>89.99</x:v>
      </x:c>
      <x:c r="H10" s="2" t="str"/>
      <x:c r="I10" s="2"/>
    </x:row>
    <x:row r="11" ht="27" customHeight="1">
      <x:c r="A11" s="14" t="str">
        <x:v>SRC-04</x:v>
      </x:c>
      <x:c r="B11" s="14" t="str">
        <x:v>Synthetic 04</x:v>
      </x:c>
      <x:c r="C11" s="14" t="str">
        <x:v>DEMO-004</x:v>
      </x:c>
      <x:c r="D11" s="14" t="str">
        <x:v>09/02/2026</x:v>
      </x:c>
      <x:c r="E11" s="14" t="str">
        <x:v>Maple Parking</x:v>
      </x:c>
      <x:c r="F11" s="14" t="str">
        <x:v>$24.50</x:v>
      </x:c>
      <x:c r="G11" s="17" t="n">
        <x:v>24.5</x:v>
      </x:c>
      <x:c r="H11" s="14" t="str"/>
      <x:c r="I11" s="2"/>
    </x:row>
    <x:row r="12" ht="27" customHeight="1">
      <x:c r="A12" s="2" t="str">
        <x:v>SRC-05</x:v>
      </x:c>
      <x:c r="B12" s="2" t="str">
        <x:v>Synthetic 05</x:v>
      </x:c>
      <x:c r="C12" s="2" t="str">
        <x:v>DEMO-005</x:v>
      </x:c>
      <x:c r="D12" s="2" t="str">
        <x:v>9/3/26</x:v>
      </x:c>
      <x:c r="E12" s="2" t="str">
        <x:v>Elm Print Shop</x:v>
      </x:c>
      <x:c r="F12" s="2" t="str">
        <x:v>$15.20</x:v>
      </x:c>
      <x:c r="G12" s="6" t="n">
        <x:v>15.2</x:v>
      </x:c>
      <x:c r="H12" s="2" t="str"/>
      <x:c r="I12" s="2"/>
    </x:row>
    <x:row r="13" ht="27" customHeight="1">
      <x:c r="A13" s="14" t="str">
        <x:v>SRC-06</x:v>
      </x:c>
      <x:c r="B13" s="14" t="str">
        <x:v>Synthetic 06</x:v>
      </x:c>
      <x:c r="C13" s="14" t="str">
        <x:v>DEMO-006</x:v>
      </x:c>
      <x:c r="D13" s="14" t="str">
        <x:v>2026-09-03</x:v>
      </x:c>
      <x:c r="E13" s="14" t="str">
        <x:v>Birch Fuel</x:v>
      </x:c>
      <x:c r="F13" s="14" t="str">
        <x:v>$42.00</x:v>
      </x:c>
      <x:c r="G13" s="17" t="n">
        <x:v>42</x:v>
      </x:c>
      <x:c r="H13" s="14" t="str"/>
      <x:c r="I13" s="2"/>
    </x:row>
    <x:row r="14" ht="27" customHeight="1">
      <x:c r="A14" s="2" t="str">
        <x:v>SRC-07</x:v>
      </x:c>
      <x:c r="B14" s="2" t="str">
        <x:v>Synthetic 07</x:v>
      </x:c>
      <x:c r="C14" s="2" t="str">
        <x:v>DEMO-007</x:v>
      </x:c>
      <x:c r="D14" s="2" t="str">
        <x:v>09/04/2026</x:v>
      </x:c>
      <x:c r="E14" s="2" t="str">
        <x:v>Pine Stationery</x:v>
      </x:c>
      <x:c r="F14" s="2" t="str">
        <x:v>18.75</x:v>
      </x:c>
      <x:c r="G14" s="6" t="n">
        <x:v>18.75</x:v>
      </x:c>
      <x:c r="H14" s="2" t="str"/>
      <x:c r="I14" s="2"/>
    </x:row>
    <x:row r="15" ht="27" customHeight="1">
      <x:c r="A15" s="14" t="str">
        <x:v>SRC-08</x:v>
      </x:c>
      <x:c r="B15" s="14" t="str">
        <x:v>Synthetic 08</x:v>
      </x:c>
      <x:c r="C15" s="14" t="str">
        <x:v>DEMO-008</x:v>
      </x:c>
      <x:c r="D15" s="14" t="str">
        <x:v>9/4/26</x:v>
      </x:c>
      <x:c r="E15" s="14" t="str">
        <x:v>Harbor Hardware</x:v>
      </x:c>
      <x:c r="F15" s="14" t="str">
        <x:v>$64.10</x:v>
      </x:c>
      <x:c r="G15" s="17" t="n">
        <x:v>64.1</x:v>
      </x:c>
      <x:c r="H15" s="14" t="str"/>
      <x:c r="I15" s="2"/>
    </x:row>
    <x:row r="16" ht="27" customHeight="1">
      <x:c r="A16" s="2" t="str">
        <x:v>SRC-09</x:v>
      </x:c>
      <x:c r="B16" s="2" t="str">
        <x:v>Synthetic 09</x:v>
      </x:c>
      <x:c r="C16" s="2" t="str">
        <x:v>DEMO-009</x:v>
      </x:c>
      <x:c r="D16" s="2" t="str">
        <x:v>2026-09-05</x:v>
      </x:c>
      <x:c r="E16" s="2" t="str">
        <x:v>Cedar Cafe</x:v>
      </x:c>
      <x:c r="F16" s="2" t="str">
        <x:v>$27.30</x:v>
      </x:c>
      <x:c r="G16" s="6" t="n">
        <x:v>27.3</x:v>
      </x:c>
      <x:c r="H16" s="2" t="str"/>
      <x:c r="I16" s="2"/>
    </x:row>
    <x:row r="17" ht="27" customHeight="1">
      <x:c r="A17" s="14" t="str">
        <x:v>SRC-10</x:v>
      </x:c>
      <x:c r="B17" s="14" t="str">
        <x:v>Synthetic 10</x:v>
      </x:c>
      <x:c r="C17" s="14" t="str">
        <x:v>DEMO-006</x:v>
      </x:c>
      <x:c r="D17" s="14" t="str">
        <x:v>2026-09-03</x:v>
      </x:c>
      <x:c r="E17" s="14" t="str">
        <x:v>Birch Fuel</x:v>
      </x:c>
      <x:c r="F17" s="14" t="str">
        <x:v>$42.00</x:v>
      </x:c>
      <x:c r="G17" s="17" t="n">
        <x:v>42</x:v>
      </x:c>
      <x:c r="H17" s="14" t="str">
        <x:v>Repeat of SRC-06</x:v>
      </x:c>
      <x:c r="I17" s="2"/>
    </x:row>
    <x:row r="18" ht="27" customHeight="1">
      <x:c r="A18" s="2" t="str">
        <x:v>SRC-11</x:v>
      </x:c>
      <x:c r="B18" s="2" t="str">
        <x:v>Synthetic 11</x:v>
      </x:c>
      <x:c r="C18" s="2" t="str">
        <x:v>DEMO-011</x:v>
      </x:c>
      <x:c r="D18" s="2" t="str"/>
      <x:c r="E18" s="2" t="str">
        <x:v>Juniper Courier</x:v>
      </x:c>
      <x:c r="F18" s="2" t="str">
        <x:v>$33.80</x:v>
      </x:c>
      <x:c r="G18" s="6" t="n">
        <x:v>33.8</x:v>
      </x:c>
      <x:c r="H18" s="2" t="str">
        <x:v>Date missing</x:v>
      </x:c>
      <x:c r="I18" s="2"/>
    </x:row>
    <x:row r="19" ht="27" customHeight="1">
      <x:c r="A19" s="14" t="str">
        <x:v>SRC-12</x:v>
      </x:c>
      <x:c r="B19" s="14" t="str">
        <x:v>Synthetic 12</x:v>
      </x:c>
      <x:c r="C19" s="14" t="str">
        <x:v>DEMO-012</x:v>
      </x:c>
      <x:c r="D19" s="14" t="str">
        <x:v>09/06/2026</x:v>
      </x:c>
      <x:c r="E19" s="14" t="str">
        <x:v>Elm Print Shop</x:v>
      </x:c>
      <x:c r="F19" s="14" t="str">
        <x:v>unreadable</x:v>
      </x:c>
      <x:c r="G19" s="17"/>
      <x:c r="H19" s="14" t="str">
        <x:v>Amount unreadable</x:v>
      </x:c>
      <x:c r="I19" s="2"/>
    </x:row>
    <x:row r="20" ht="27" customHeight="1">
      <x:c r="A20" s="2" t="str">
        <x:v>SRC-13</x:v>
      </x:c>
      <x:c r="B20" s="2" t="str">
        <x:v>Synthetic 13</x:v>
      </x:c>
      <x:c r="C20" s="2" t="str">
        <x:v>DEMO-013</x:v>
      </x:c>
      <x:c r="D20" s="2" t="str">
        <x:v>09/07/2026</x:v>
      </x:c>
      <x:c r="E20" s="2" t="str"/>
      <x:c r="F20" s="2" t="str">
        <x:v>$21.15</x:v>
      </x:c>
      <x:c r="G20" s="6" t="n">
        <x:v>21.15</x:v>
      </x:c>
      <x:c r="H20" s="2" t="str">
        <x:v>Vendor missing</x:v>
      </x:c>
      <x:c r="I20" s="2"/>
    </x:row>
    <x:row r="21" ht="27" customHeight="1">
      <x:c r="A21" s="14" t="str">
        <x:v>SRC-14</x:v>
      </x:c>
      <x:c r="B21" s="14" t="str">
        <x:v>Synthetic 14</x:v>
      </x:c>
      <x:c r="C21" s="14" t="str">
        <x:v>DEMO-014</x:v>
      </x:c>
      <x:c r="D21" s="14" t="str">
        <x:v>09/07/2026</x:v>
      </x:c>
      <x:c r="E21" s="14" t="str">
        <x:v>Maple Parking</x:v>
      </x:c>
      <x:c r="F21" s="14" t="str">
        <x:v>$0.00</x:v>
      </x:c>
      <x:c r="G21" s="17" t="n">
        <x:v>0</x:v>
      </x:c>
      <x:c r="H21" s="14" t="str">
        <x:v>Genuine zero in sample</x:v>
      </x:c>
      <x:c r="I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4" t="str">
        <x:v>Source labels identify invented records only. No PDF scans or customer files were used.</x:v>
      </x:c>
      <x:c r="B23" s="4"/>
      <x:c r="C23" s="4"/>
      <x:c r="D23" s="4"/>
      <x:c r="E23" s="4"/>
      <x:c r="F23" s="4"/>
      <x:c r="G23" s="4"/>
      <x:c r="H23" s="4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</x:sheetData>
  <x:pageMargins left="0.7" right="0.7" top="0.75" bottom="0.75" header="0.3" footer="0.3"/>
  <x:tableParts count="1">
    <x:tablePart xmlns:r="http://schemas.openxmlformats.org/officeDocument/2006/relationships" r:id="R2d60768875a04551"/>
  </x:tableParts>
</x:worksheet>
</file>